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Planilha1" sheetId="1" state="visible" r:id="rId2"/>
    <sheet name="Analise Velocidad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<sst xmlns="http://schemas.openxmlformats.org/spreadsheetml/2006/main" count="91" uniqueCount="70">
  <si>
    <t xml:space="preserve">Resultados da análise da porta CAN SARA</t>
  </si>
  <si>
    <t xml:space="preserve">Ver 1. Vinícius Brito Cardoso – 23/10/2019</t>
  </si>
  <si>
    <t xml:space="preserve">Baud rate: 250KBPS</t>
  </si>
  <si>
    <t xml:space="preserve">Dados enviados pelo controlador para o painel:</t>
  </si>
  <si>
    <t xml:space="preserve">Extended ID</t>
  </si>
  <si>
    <t xml:space="preserve">0x10F8109A  </t>
  </si>
  <si>
    <t xml:space="preserve">Data:</t>
  </si>
  <si>
    <t xml:space="preserve">0x00</t>
  </si>
  <si>
    <t xml:space="preserve">Descrição:</t>
  </si>
  <si>
    <t xml:space="preserve">Marcha atual: 0x04 = Neutro
0x05 = Frente
0x06 = Ré</t>
  </si>
  <si>
    <t xml:space="preserve">velocidade atual (Baixa ordem)</t>
  </si>
  <si>
    <t xml:space="preserve">velocidade atual (Alta ordem)</t>
  </si>
  <si>
    <t xml:space="preserve">bip (erro)</t>
  </si>
  <si>
    <t xml:space="preserve">Não identificado</t>
  </si>
  <si>
    <t xml:space="preserve">Potencialmente-odometro</t>
  </si>
  <si>
    <t xml:space="preserve">0x10F8108D</t>
  </si>
  <si>
    <t xml:space="preserve">0x85 </t>
  </si>
  <si>
    <t xml:space="preserve">0x02 </t>
  </si>
  <si>
    <t xml:space="preserve">0x00 </t>
  </si>
  <si>
    <t xml:space="preserve">0xD0 </t>
  </si>
  <si>
    <t xml:space="preserve">0xC9 </t>
  </si>
  <si>
    <t xml:space="preserve">Tensão medida das baterias</t>
  </si>
  <si>
    <t xml:space="preserve">multiplicador de tensão para correta exibição</t>
  </si>
  <si>
    <t xml:space="preserve">Luzes de amperes, 0x00 = tudo apagado, 0x02 = 2 luzes verdes, 0x03 = 3 luzes verdes, etc</t>
  </si>
  <si>
    <t xml:space="preserve">Análise Velocidade</t>
  </si>
  <si>
    <t xml:space="preserve">Hex</t>
  </si>
  <si>
    <t xml:space="preserve">Dec</t>
  </si>
  <si>
    <t xml:space="preserve">Km/h</t>
  </si>
  <si>
    <t xml:space="preserve">Conversão</t>
  </si>
  <si>
    <t xml:space="preserve">Equação da tendencia: x*</t>
  </si>
  <si>
    <t xml:space="preserve">Km = x*0.0116 + (-0.363)</t>
  </si>
  <si>
    <t xml:space="preserve">000F</t>
  </si>
  <si>
    <t xml:space="preserve">Dado Can</t>
  </si>
  <si>
    <t xml:space="preserve">005A</t>
  </si>
  <si>
    <t xml:space="preserve">006C</t>
  </si>
  <si>
    <t xml:space="preserve">m/s</t>
  </si>
  <si>
    <t xml:space="preserve">009c</t>
  </si>
  <si>
    <t xml:space="preserve">00C9</t>
  </si>
  <si>
    <t xml:space="preserve">00CF</t>
  </si>
  <si>
    <t xml:space="preserve">00EA</t>
  </si>
  <si>
    <t xml:space="preserve">00F9</t>
  </si>
  <si>
    <t xml:space="preserve">02A0</t>
  </si>
  <si>
    <t xml:space="preserve">02A6</t>
  </si>
  <si>
    <t xml:space="preserve">02BB</t>
  </si>
  <si>
    <t xml:space="preserve">05D9</t>
  </si>
  <si>
    <t xml:space="preserve">067E</t>
  </si>
  <si>
    <t xml:space="preserve">06AE</t>
  </si>
  <si>
    <t xml:space="preserve">06b1</t>
  </si>
  <si>
    <t xml:space="preserve">06b4</t>
  </si>
  <si>
    <t xml:space="preserve">06b7</t>
  </si>
  <si>
    <t xml:space="preserve">06C0</t>
  </si>
  <si>
    <t xml:space="preserve">06CF</t>
  </si>
  <si>
    <t xml:space="preserve">  </t>
  </si>
  <si>
    <t xml:space="preserve">06DE</t>
  </si>
  <si>
    <t xml:space="preserve">6E4</t>
  </si>
  <si>
    <t xml:space="preserve">06ED</t>
  </si>
  <si>
    <t xml:space="preserve">06F6</t>
  </si>
  <si>
    <t xml:space="preserve">06FF</t>
  </si>
  <si>
    <t xml:space="preserve">0A2C</t>
  </si>
  <si>
    <t xml:space="preserve">0A35</t>
  </si>
  <si>
    <t xml:space="preserve">0A3E</t>
  </si>
  <si>
    <t xml:space="preserve">0A74</t>
  </si>
  <si>
    <t xml:space="preserve">0E58</t>
  </si>
  <si>
    <t xml:space="preserve">0E5E</t>
  </si>
  <si>
    <t xml:space="preserve">0E64</t>
  </si>
  <si>
    <t xml:space="preserve">0E67</t>
  </si>
  <si>
    <t xml:space="preserve">0E73</t>
  </si>
  <si>
    <t xml:space="preserve">0EDF</t>
  </si>
  <si>
    <t xml:space="preserve">0EE2</t>
  </si>
  <si>
    <t xml:space="preserve">107D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</si>
</sst>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0707632681127712"/>
          <c:y val="0.0452166165497271"/>
          <c:w val="0.762768019003563"/>
          <c:h val="0.865797973048224"/>
        </c:manualLayout>
      </c:layout>
      <c:scatterChart>
        <c:scatterStyle val="line"/>
        <c:varyColors val="0"/>
        <c:ser>
          <c:idx val="0"/>
          <c:order val="0"/>
          <c:tx>
            <c:strRef>
              <c:f>'Analise Velocidade'!$C$2</c:f>
              <c:strCache>
                <c:ptCount val="1"/>
                <c:pt idx="0">
                  <c:v>Km/h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'Analise Velocidade'!$B$3:$B$51</c:f>
              <c:numCache>
                <c:formatCode>General</c:formatCode>
                <c:ptCount val="49"/>
                <c:pt idx="0">
                  <c:v>9</c:v>
                </c:pt>
                <c:pt idx="1">
                  <c:v>24</c:v>
                </c:pt>
                <c:pt idx="2">
                  <c:v>15</c:v>
                </c:pt>
                <c:pt idx="3">
                  <c:v>90</c:v>
                </c:pt>
                <c:pt idx="4">
                  <c:v>108</c:v>
                </c:pt>
                <c:pt idx="5">
                  <c:v>117</c:v>
                </c:pt>
                <c:pt idx="6">
                  <c:v>129</c:v>
                </c:pt>
                <c:pt idx="7">
                  <c:v>132</c:v>
                </c:pt>
                <c:pt idx="8">
                  <c:v>156</c:v>
                </c:pt>
                <c:pt idx="9">
                  <c:v>201</c:v>
                </c:pt>
                <c:pt idx="10">
                  <c:v>207</c:v>
                </c:pt>
                <c:pt idx="11">
                  <c:v>234</c:v>
                </c:pt>
                <c:pt idx="12">
                  <c:v>249</c:v>
                </c:pt>
                <c:pt idx="13">
                  <c:v>264</c:v>
                </c:pt>
                <c:pt idx="14">
                  <c:v>672</c:v>
                </c:pt>
                <c:pt idx="15">
                  <c:v>678</c:v>
                </c:pt>
                <c:pt idx="16">
                  <c:v>699</c:v>
                </c:pt>
                <c:pt idx="17">
                  <c:v>1497</c:v>
                </c:pt>
                <c:pt idx="18">
                  <c:v>1557</c:v>
                </c:pt>
                <c:pt idx="19">
                  <c:v>1584</c:v>
                </c:pt>
                <c:pt idx="20">
                  <c:v>1662</c:v>
                </c:pt>
                <c:pt idx="21">
                  <c:v>1710</c:v>
                </c:pt>
                <c:pt idx="22">
                  <c:v>1713</c:v>
                </c:pt>
                <c:pt idx="23">
                  <c:v>1716</c:v>
                </c:pt>
                <c:pt idx="24">
                  <c:v>1719</c:v>
                </c:pt>
                <c:pt idx="25">
                  <c:v>1728</c:v>
                </c:pt>
                <c:pt idx="26">
                  <c:v>1743</c:v>
                </c:pt>
                <c:pt idx="27">
                  <c:v>1758</c:v>
                </c:pt>
                <c:pt idx="28">
                  <c:v>1764</c:v>
                </c:pt>
                <c:pt idx="29">
                  <c:v>1773</c:v>
                </c:pt>
                <c:pt idx="30">
                  <c:v>1782</c:v>
                </c:pt>
                <c:pt idx="31">
                  <c:v>1791</c:v>
                </c:pt>
                <c:pt idx="32">
                  <c:v>1812</c:v>
                </c:pt>
                <c:pt idx="33">
                  <c:v>1872</c:v>
                </c:pt>
                <c:pt idx="34">
                  <c:v>2604</c:v>
                </c:pt>
                <c:pt idx="35">
                  <c:v>2613</c:v>
                </c:pt>
                <c:pt idx="36">
                  <c:v>2622</c:v>
                </c:pt>
                <c:pt idx="37">
                  <c:v>2676</c:v>
                </c:pt>
                <c:pt idx="38">
                  <c:v>3672</c:v>
                </c:pt>
                <c:pt idx="39">
                  <c:v>3678</c:v>
                </c:pt>
                <c:pt idx="40">
                  <c:v>3684</c:v>
                </c:pt>
                <c:pt idx="41">
                  <c:v>3687</c:v>
                </c:pt>
                <c:pt idx="42">
                  <c:v>3699</c:v>
                </c:pt>
                <c:pt idx="43">
                  <c:v>3807</c:v>
                </c:pt>
                <c:pt idx="44">
                  <c:v>3810</c:v>
                </c:pt>
                <c:pt idx="45">
                  <c:v>4221</c:v>
                </c:pt>
                <c:pt idx="46">
                  <c:v>4224</c:v>
                </c:pt>
                <c:pt idx="47">
                  <c:v>4227</c:v>
                </c:pt>
                <c:pt idx="48">
                  <c:v>4233</c:v>
                </c:pt>
              </c:numCache>
            </c:numRef>
          </c:xVal>
          <c:yVal>
            <c:numRef>
              <c:f>'Analise Velocidade'!$C$3:$C$51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42</c:v>
                </c:pt>
                <c:pt idx="39">
                  <c:v>42</c:v>
                </c:pt>
                <c:pt idx="40">
                  <c:v>42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44</c:v>
                </c:pt>
                <c:pt idx="45">
                  <c:v>48</c:v>
                </c:pt>
                <c:pt idx="46">
                  <c:v>48</c:v>
                </c:pt>
                <c:pt idx="47">
                  <c:v>49</c:v>
                </c:pt>
                <c:pt idx="48">
                  <c:v>49</c:v>
                </c:pt>
              </c:numCache>
            </c:numRef>
          </c:yVal>
          <c:smooth val="0"/>
        </c:ser>
        <c:axId val="20717047"/>
        <c:axId val="11714003"/>
      </c:scatterChart>
      <c:valAx>
        <c:axId val="20717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1714003"/>
        <c:crosses val="autoZero"/>
        <c:crossBetween val="midCat"/>
      </c:valAx>
      <c:valAx>
        <c:axId val="1171400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071704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366840</xdr:colOff>
      <xdr:row>8</xdr:row>
      <xdr:rowOff>146160</xdr:rowOff>
    </xdr:from>
    <xdr:to>
      <xdr:col>11</xdr:col>
      <xdr:colOff>436320</xdr:colOff>
      <xdr:row>27</xdr:row>
      <xdr:rowOff>48960</xdr:rowOff>
    </xdr:to>
    <xdr:graphicFrame>
      <xdr:nvGraphicFramePr>
        <xdr:cNvPr id="0" name=""/>
        <xdr:cNvGraphicFramePr/>
      </xdr:nvGraphicFramePr>
      <xdr:xfrm>
        <a:off x="3618000" y="1548000"/>
        <a:ext cx="5758920" cy="323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" min="1" style="0" width="11.6761133603239"/>
    <col collapsed="false" hidden="false" max="2" min="2" style="0" width="12.4251012145749"/>
    <col collapsed="false" hidden="false" max="3" min="3" style="0" width="8.57085020242915"/>
    <col collapsed="false" hidden="false" max="11" min="4" style="0" width="16.497975708502"/>
    <col collapsed="false" hidden="false" max="1025" min="12" style="0" width="8.57085020242915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1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1" t="s">
        <v>3</v>
      </c>
    </row>
    <row r="8" customFormat="false" ht="15" hidden="false" customHeight="false" outlineLevel="0" collapsed="false">
      <c r="A8" s="2" t="s">
        <v>4</v>
      </c>
      <c r="B8" s="2" t="s">
        <v>5</v>
      </c>
      <c r="C8" s="2" t="s">
        <v>6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7</v>
      </c>
      <c r="K8" s="2" t="s">
        <v>7</v>
      </c>
    </row>
    <row r="9" customFormat="false" ht="55.2" hidden="false" customHeight="false" outlineLevel="0" collapsed="false">
      <c r="A9" s="3" t="s">
        <v>8</v>
      </c>
      <c r="B9" s="4"/>
      <c r="C9" s="4"/>
      <c r="D9" s="5" t="s">
        <v>9</v>
      </c>
      <c r="E9" s="6" t="s">
        <v>10</v>
      </c>
      <c r="F9" s="5" t="s">
        <v>11</v>
      </c>
      <c r="G9" s="7" t="s">
        <v>12</v>
      </c>
      <c r="H9" s="5" t="s">
        <v>13</v>
      </c>
      <c r="I9" s="5" t="s">
        <v>14</v>
      </c>
      <c r="J9" s="5" t="s">
        <v>13</v>
      </c>
      <c r="K9" s="5" t="s">
        <v>13</v>
      </c>
      <c r="L9" s="8"/>
    </row>
    <row r="11" customFormat="false" ht="15" hidden="false" customHeight="false" outlineLevel="0" collapsed="false">
      <c r="A11" s="2" t="s">
        <v>4</v>
      </c>
      <c r="B11" s="2" t="s">
        <v>15</v>
      </c>
      <c r="C11" s="2" t="s">
        <v>6</v>
      </c>
      <c r="D11" s="2" t="s">
        <v>16</v>
      </c>
      <c r="E11" s="2" t="s">
        <v>17</v>
      </c>
      <c r="F11" s="2" t="s">
        <v>18</v>
      </c>
      <c r="G11" s="2" t="s">
        <v>18</v>
      </c>
      <c r="H11" s="2" t="s">
        <v>19</v>
      </c>
      <c r="I11" s="2" t="s">
        <v>18</v>
      </c>
      <c r="J11" s="2" t="s">
        <v>20</v>
      </c>
      <c r="K11" s="2" t="s">
        <v>7</v>
      </c>
    </row>
    <row r="12" customFormat="false" ht="90" hidden="false" customHeight="false" outlineLevel="0" collapsed="false">
      <c r="A12" s="3" t="s">
        <v>8</v>
      </c>
      <c r="B12" s="4"/>
      <c r="C12" s="4"/>
      <c r="D12" s="5" t="s">
        <v>21</v>
      </c>
      <c r="E12" s="5" t="s">
        <v>22</v>
      </c>
      <c r="F12" s="5" t="s">
        <v>23</v>
      </c>
      <c r="G12" s="5" t="s">
        <v>13</v>
      </c>
      <c r="H12" s="5" t="s">
        <v>13</v>
      </c>
      <c r="I12" s="5" t="s">
        <v>13</v>
      </c>
      <c r="J12" s="5" t="s">
        <v>13</v>
      </c>
      <c r="K12" s="5" t="s">
        <v>13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RowHeight="12.8"/>
  <cols>
    <col collapsed="false" hidden="false" max="1025" min="1" style="0" width="9.1417004048583"/>
  </cols>
  <sheetData>
    <row r="1" customFormat="false" ht="13.8" hidden="false" customHeight="false" outlineLevel="0" collapsed="false">
      <c r="A1" s="9" t="s">
        <v>24</v>
      </c>
      <c r="B1" s="9"/>
      <c r="C1" s="9"/>
      <c r="D1" s="9"/>
    </row>
    <row r="2" customFormat="false" ht="13.8" hidden="false" customHeight="false" outlineLevel="0" collapsed="false">
      <c r="A2" s="9" t="s">
        <v>25</v>
      </c>
      <c r="B2" s="9" t="s">
        <v>26</v>
      </c>
      <c r="C2" s="9" t="s">
        <v>27</v>
      </c>
      <c r="D2" s="9" t="s">
        <v>28</v>
      </c>
      <c r="F2" s="9" t="s">
        <v>29</v>
      </c>
    </row>
    <row r="3" customFormat="false" ht="13.8" hidden="false" customHeight="false" outlineLevel="0" collapsed="false">
      <c r="A3" s="10" t="n">
        <v>9</v>
      </c>
      <c r="B3" s="0" t="n">
        <f aca="false">HEX2DEC(A3)</f>
        <v>9</v>
      </c>
      <c r="C3" s="0" t="n">
        <v>0</v>
      </c>
      <c r="F3" s="0" t="s">
        <v>30</v>
      </c>
    </row>
    <row r="4" customFormat="false" ht="13.8" hidden="false" customHeight="false" outlineLevel="0" collapsed="false">
      <c r="A4" s="10" t="n">
        <v>18</v>
      </c>
      <c r="B4" s="0" t="n">
        <f aca="false">HEX2DEC(A4)</f>
        <v>24</v>
      </c>
      <c r="C4" s="0" t="n">
        <v>0</v>
      </c>
    </row>
    <row r="5" customFormat="false" ht="13.8" hidden="false" customHeight="false" outlineLevel="0" collapsed="false">
      <c r="A5" s="10" t="s">
        <v>31</v>
      </c>
      <c r="B5" s="0" t="n">
        <f aca="false">HEX2DEC(A5)</f>
        <v>15</v>
      </c>
      <c r="C5" s="0" t="n">
        <v>0</v>
      </c>
      <c r="F5" s="0" t="s">
        <v>32</v>
      </c>
      <c r="G5" s="0" t="n">
        <v>249</v>
      </c>
    </row>
    <row r="6" customFormat="false" ht="13.8" hidden="false" customHeight="false" outlineLevel="0" collapsed="false">
      <c r="A6" s="10" t="s">
        <v>33</v>
      </c>
      <c r="B6" s="0" t="n">
        <f aca="false">HEX2DEC(A6)</f>
        <v>90</v>
      </c>
      <c r="C6" s="0" t="n">
        <v>0</v>
      </c>
      <c r="F6" s="0" t="s">
        <v>27</v>
      </c>
      <c r="G6" s="0" t="n">
        <f aca="false">G5*0.0116</f>
        <v>2.8884</v>
      </c>
    </row>
    <row r="7" customFormat="false" ht="13.8" hidden="false" customHeight="false" outlineLevel="0" collapsed="false">
      <c r="A7" s="10" t="s">
        <v>34</v>
      </c>
      <c r="B7" s="0" t="n">
        <f aca="false">HEX2DEC(A7)</f>
        <v>108</v>
      </c>
      <c r="C7" s="0" t="n">
        <v>0</v>
      </c>
      <c r="F7" s="0" t="s">
        <v>35</v>
      </c>
      <c r="G7" s="0" t="n">
        <f aca="false">G6/3.6</f>
        <v>0.802333333333333</v>
      </c>
    </row>
    <row r="8" customFormat="false" ht="13.8" hidden="false" customHeight="false" outlineLevel="0" collapsed="false">
      <c r="A8" s="10" t="n">
        <v>75</v>
      </c>
      <c r="B8" s="0" t="n">
        <f aca="false">HEX2DEC(A8)</f>
        <v>117</v>
      </c>
      <c r="C8" s="0" t="n">
        <v>1</v>
      </c>
      <c r="D8" s="0" t="n">
        <f aca="false">B8/C8</f>
        <v>117</v>
      </c>
    </row>
    <row r="9" customFormat="false" ht="13.8" hidden="false" customHeight="false" outlineLevel="0" collapsed="false">
      <c r="A9" s="10" t="n">
        <v>81</v>
      </c>
      <c r="B9" s="0" t="n">
        <f aca="false">HEX2DEC(A9)</f>
        <v>129</v>
      </c>
      <c r="C9" s="0" t="n">
        <v>1</v>
      </c>
      <c r="D9" s="0" t="n">
        <f aca="false">B9/C9</f>
        <v>129</v>
      </c>
    </row>
    <row r="10" customFormat="false" ht="13.8" hidden="false" customHeight="false" outlineLevel="0" collapsed="false">
      <c r="A10" s="10" t="n">
        <v>84</v>
      </c>
      <c r="B10" s="0" t="n">
        <f aca="false">HEX2DEC(A10)</f>
        <v>132</v>
      </c>
      <c r="C10" s="0" t="n">
        <v>1</v>
      </c>
      <c r="D10" s="0" t="n">
        <f aca="false">B10/C10</f>
        <v>132</v>
      </c>
    </row>
    <row r="11" customFormat="false" ht="13.8" hidden="false" customHeight="false" outlineLevel="0" collapsed="false">
      <c r="A11" s="10" t="s">
        <v>36</v>
      </c>
      <c r="B11" s="0" t="n">
        <f aca="false">HEX2DEC(A11)</f>
        <v>156</v>
      </c>
      <c r="C11" s="0" t="n">
        <v>1</v>
      </c>
      <c r="D11" s="0" t="n">
        <f aca="false">B11/C11</f>
        <v>156</v>
      </c>
    </row>
    <row r="12" customFormat="false" ht="13.8" hidden="false" customHeight="false" outlineLevel="0" collapsed="false">
      <c r="A12" s="10" t="s">
        <v>37</v>
      </c>
      <c r="B12" s="0" t="n">
        <f aca="false">HEX2DEC(A12)</f>
        <v>201</v>
      </c>
      <c r="C12" s="0" t="n">
        <v>2</v>
      </c>
      <c r="D12" s="0" t="n">
        <f aca="false">B12/C12</f>
        <v>100.5</v>
      </c>
    </row>
    <row r="13" customFormat="false" ht="13.8" hidden="false" customHeight="false" outlineLevel="0" collapsed="false">
      <c r="A13" s="10" t="s">
        <v>38</v>
      </c>
      <c r="B13" s="0" t="n">
        <f aca="false">HEX2DEC(A13)</f>
        <v>207</v>
      </c>
      <c r="C13" s="0" t="n">
        <v>2</v>
      </c>
      <c r="D13" s="0" t="n">
        <f aca="false">B13/C13</f>
        <v>103.5</v>
      </c>
    </row>
    <row r="14" customFormat="false" ht="13.8" hidden="false" customHeight="false" outlineLevel="0" collapsed="false">
      <c r="A14" s="11" t="s">
        <v>39</v>
      </c>
      <c r="B14" s="0" t="n">
        <f aca="false">HEX2DEC(A14)</f>
        <v>234</v>
      </c>
      <c r="C14" s="0" t="n">
        <v>2</v>
      </c>
      <c r="D14" s="0" t="n">
        <f aca="false">B14/C14</f>
        <v>117</v>
      </c>
    </row>
    <row r="15" customFormat="false" ht="13.8" hidden="false" customHeight="false" outlineLevel="0" collapsed="false">
      <c r="A15" s="10" t="s">
        <v>40</v>
      </c>
      <c r="B15" s="0" t="n">
        <f aca="false">HEX2DEC(A15)</f>
        <v>249</v>
      </c>
      <c r="C15" s="0" t="n">
        <v>3</v>
      </c>
      <c r="D15" s="0" t="n">
        <f aca="false">B15/C15</f>
        <v>83</v>
      </c>
    </row>
    <row r="16" customFormat="false" ht="13.8" hidden="false" customHeight="false" outlineLevel="0" collapsed="false">
      <c r="A16" s="10" t="n">
        <v>108</v>
      </c>
      <c r="B16" s="0" t="n">
        <f aca="false">HEX2DEC(A16)</f>
        <v>264</v>
      </c>
      <c r="C16" s="0" t="n">
        <v>3</v>
      </c>
      <c r="D16" s="0" t="n">
        <f aca="false">B16/C16</f>
        <v>88</v>
      </c>
    </row>
    <row r="17" customFormat="false" ht="13.8" hidden="false" customHeight="false" outlineLevel="0" collapsed="false">
      <c r="A17" s="10" t="s">
        <v>41</v>
      </c>
      <c r="B17" s="0" t="n">
        <f aca="false">HEX2DEC(A17)</f>
        <v>672</v>
      </c>
      <c r="C17" s="0" t="n">
        <v>8</v>
      </c>
      <c r="D17" s="0" t="n">
        <f aca="false">B17/C17</f>
        <v>84</v>
      </c>
    </row>
    <row r="18" customFormat="false" ht="13.8" hidden="false" customHeight="false" outlineLevel="0" collapsed="false">
      <c r="A18" s="10" t="s">
        <v>42</v>
      </c>
      <c r="B18" s="0" t="n">
        <f aca="false">HEX2DEC(A18)</f>
        <v>678</v>
      </c>
      <c r="C18" s="0" t="n">
        <v>8</v>
      </c>
      <c r="D18" s="0" t="n">
        <f aca="false">B18/C18</f>
        <v>84.75</v>
      </c>
    </row>
    <row r="19" customFormat="false" ht="13.8" hidden="false" customHeight="false" outlineLevel="0" collapsed="false">
      <c r="A19" s="10" t="s">
        <v>43</v>
      </c>
      <c r="B19" s="0" t="n">
        <f aca="false">HEX2DEC(A19)</f>
        <v>699</v>
      </c>
      <c r="C19" s="0" t="n">
        <v>8</v>
      </c>
      <c r="D19" s="0" t="n">
        <f aca="false">B19/C19</f>
        <v>87.375</v>
      </c>
    </row>
    <row r="20" customFormat="false" ht="13.8" hidden="false" customHeight="false" outlineLevel="0" collapsed="false">
      <c r="A20" s="10" t="s">
        <v>44</v>
      </c>
      <c r="B20" s="0" t="n">
        <f aca="false">HEX2DEC(A20)</f>
        <v>1497</v>
      </c>
      <c r="C20" s="0" t="n">
        <v>17</v>
      </c>
      <c r="D20" s="0" t="n">
        <f aca="false">B20/C20</f>
        <v>88.0588235294118</v>
      </c>
    </row>
    <row r="21" customFormat="false" ht="13.8" hidden="false" customHeight="false" outlineLevel="0" collapsed="false">
      <c r="A21" s="10" t="n">
        <v>615</v>
      </c>
      <c r="B21" s="0" t="n">
        <f aca="false">HEX2DEC(A21)</f>
        <v>1557</v>
      </c>
      <c r="C21" s="0" t="n">
        <v>18</v>
      </c>
      <c r="D21" s="0" t="n">
        <f aca="false">B21/C21</f>
        <v>86.5</v>
      </c>
    </row>
    <row r="22" customFormat="false" ht="13.8" hidden="false" customHeight="false" outlineLevel="0" collapsed="false">
      <c r="A22" s="10" t="n">
        <v>630</v>
      </c>
      <c r="B22" s="0" t="n">
        <f aca="false">HEX2DEC(A22)</f>
        <v>1584</v>
      </c>
      <c r="C22" s="0" t="n">
        <v>18</v>
      </c>
      <c r="D22" s="0" t="n">
        <f aca="false">B22/C22</f>
        <v>88</v>
      </c>
    </row>
    <row r="23" customFormat="false" ht="13.8" hidden="false" customHeight="false" outlineLevel="0" collapsed="false">
      <c r="A23" s="10" t="s">
        <v>45</v>
      </c>
      <c r="B23" s="0" t="n">
        <f aca="false">HEX2DEC(A23)</f>
        <v>1662</v>
      </c>
      <c r="C23" s="0" t="n">
        <v>19</v>
      </c>
      <c r="D23" s="0" t="n">
        <f aca="false">B23/C23</f>
        <v>87.4736842105263</v>
      </c>
    </row>
    <row r="24" customFormat="false" ht="13.8" hidden="false" customHeight="false" outlineLevel="0" collapsed="false">
      <c r="A24" s="10" t="s">
        <v>46</v>
      </c>
      <c r="B24" s="0" t="n">
        <f aca="false">HEX2DEC(A24)</f>
        <v>1710</v>
      </c>
      <c r="C24" s="0" t="n">
        <v>19</v>
      </c>
      <c r="D24" s="0" t="n">
        <f aca="false">B24/C24</f>
        <v>90</v>
      </c>
    </row>
    <row r="25" customFormat="false" ht="13.8" hidden="false" customHeight="false" outlineLevel="0" collapsed="false">
      <c r="A25" s="10" t="s">
        <v>47</v>
      </c>
      <c r="B25" s="0" t="n">
        <f aca="false">HEX2DEC(A25)</f>
        <v>1713</v>
      </c>
      <c r="C25" s="0" t="n">
        <v>19</v>
      </c>
      <c r="D25" s="0" t="n">
        <f aca="false">B25/C25</f>
        <v>90.1578947368421</v>
      </c>
    </row>
    <row r="26" customFormat="false" ht="13.8" hidden="false" customHeight="false" outlineLevel="0" collapsed="false">
      <c r="A26" s="10" t="s">
        <v>48</v>
      </c>
      <c r="B26" s="0" t="n">
        <f aca="false">HEX2DEC(A26)</f>
        <v>1716</v>
      </c>
      <c r="C26" s="0" t="n">
        <v>20</v>
      </c>
      <c r="D26" s="0" t="n">
        <f aca="false">B26/C26</f>
        <v>85.8</v>
      </c>
    </row>
    <row r="27" customFormat="false" ht="13.8" hidden="false" customHeight="false" outlineLevel="0" collapsed="false">
      <c r="A27" s="10" t="s">
        <v>49</v>
      </c>
      <c r="B27" s="0" t="n">
        <f aca="false">HEX2DEC(A27)</f>
        <v>1719</v>
      </c>
      <c r="C27" s="0" t="n">
        <v>20</v>
      </c>
      <c r="D27" s="0" t="n">
        <f aca="false">B27/C27</f>
        <v>85.95</v>
      </c>
    </row>
    <row r="28" customFormat="false" ht="13.8" hidden="false" customHeight="false" outlineLevel="0" collapsed="false">
      <c r="A28" s="10" t="s">
        <v>50</v>
      </c>
      <c r="B28" s="0" t="n">
        <f aca="false">HEX2DEC(A28)</f>
        <v>1728</v>
      </c>
      <c r="C28" s="0" t="n">
        <v>20</v>
      </c>
      <c r="D28" s="0" t="n">
        <f aca="false">B28/C28</f>
        <v>86.4</v>
      </c>
    </row>
    <row r="29" customFormat="false" ht="13.8" hidden="false" customHeight="false" outlineLevel="0" collapsed="false">
      <c r="A29" s="10" t="s">
        <v>51</v>
      </c>
      <c r="B29" s="0" t="n">
        <f aca="false">HEX2DEC(A29)</f>
        <v>1743</v>
      </c>
      <c r="C29" s="0" t="n">
        <v>20</v>
      </c>
      <c r="D29" s="0" t="n">
        <f aca="false">B29/C29</f>
        <v>87.15</v>
      </c>
      <c r="K29" s="0" t="s">
        <v>52</v>
      </c>
    </row>
    <row r="30" customFormat="false" ht="13.8" hidden="false" customHeight="false" outlineLevel="0" collapsed="false">
      <c r="A30" s="10" t="s">
        <v>53</v>
      </c>
      <c r="B30" s="0" t="n">
        <f aca="false">HEX2DEC(A30)</f>
        <v>1758</v>
      </c>
      <c r="C30" s="0" t="n">
        <v>20</v>
      </c>
      <c r="D30" s="0" t="n">
        <f aca="false">B30/C30</f>
        <v>87.9</v>
      </c>
    </row>
    <row r="31" customFormat="false" ht="13.8" hidden="false" customHeight="false" outlineLevel="0" collapsed="false">
      <c r="A31" s="11" t="s">
        <v>54</v>
      </c>
      <c r="B31" s="0" t="n">
        <f aca="false">HEX2DEC(A31)</f>
        <v>1764</v>
      </c>
      <c r="C31" s="0" t="n">
        <v>20</v>
      </c>
      <c r="D31" s="0" t="n">
        <f aca="false">B31/C31</f>
        <v>88.2</v>
      </c>
    </row>
    <row r="32" customFormat="false" ht="13.8" hidden="false" customHeight="false" outlineLevel="0" collapsed="false">
      <c r="A32" s="10" t="s">
        <v>55</v>
      </c>
      <c r="B32" s="0" t="n">
        <f aca="false">HEX2DEC(A32)</f>
        <v>1773</v>
      </c>
      <c r="C32" s="0" t="n">
        <v>20</v>
      </c>
      <c r="D32" s="0" t="n">
        <f aca="false">B32/C32</f>
        <v>88.65</v>
      </c>
    </row>
    <row r="33" customFormat="false" ht="13.8" hidden="false" customHeight="false" outlineLevel="0" collapsed="false">
      <c r="A33" s="10" t="s">
        <v>56</v>
      </c>
      <c r="B33" s="0" t="n">
        <f aca="false">HEX2DEC(A33)</f>
        <v>1782</v>
      </c>
      <c r="C33" s="0" t="n">
        <v>20</v>
      </c>
      <c r="D33" s="0" t="n">
        <f aca="false">B33/C33</f>
        <v>89.1</v>
      </c>
    </row>
    <row r="34" customFormat="false" ht="13.8" hidden="false" customHeight="false" outlineLevel="0" collapsed="false">
      <c r="A34" s="10" t="s">
        <v>57</v>
      </c>
      <c r="B34" s="0" t="n">
        <f aca="false">HEX2DEC(A34)</f>
        <v>1791</v>
      </c>
      <c r="C34" s="0" t="n">
        <v>20</v>
      </c>
      <c r="D34" s="0" t="n">
        <f aca="false">B34/C34</f>
        <v>89.55</v>
      </c>
    </row>
    <row r="35" customFormat="false" ht="13.8" hidden="false" customHeight="false" outlineLevel="0" collapsed="false">
      <c r="A35" s="10" t="n">
        <v>714</v>
      </c>
      <c r="B35" s="0" t="n">
        <f aca="false">HEX2DEC(A35)</f>
        <v>1812</v>
      </c>
      <c r="C35" s="0" t="n">
        <v>21</v>
      </c>
      <c r="D35" s="0" t="n">
        <f aca="false">B35/C35</f>
        <v>86.2857142857143</v>
      </c>
    </row>
    <row r="36" customFormat="false" ht="13.8" hidden="false" customHeight="false" outlineLevel="0" collapsed="false">
      <c r="A36" s="11" t="n">
        <v>750</v>
      </c>
      <c r="B36" s="0" t="n">
        <f aca="false">HEX2DEC(A36)</f>
        <v>1872</v>
      </c>
      <c r="C36" s="0" t="n">
        <v>21</v>
      </c>
      <c r="D36" s="0" t="n">
        <f aca="false">B36/C36</f>
        <v>89.1428571428571</v>
      </c>
    </row>
    <row r="37" customFormat="false" ht="13.8" hidden="false" customHeight="false" outlineLevel="0" collapsed="false">
      <c r="A37" s="10" t="s">
        <v>58</v>
      </c>
      <c r="B37" s="0" t="n">
        <f aca="false">HEX2DEC(A37)</f>
        <v>2604</v>
      </c>
      <c r="C37" s="0" t="n">
        <v>30</v>
      </c>
      <c r="D37" s="0" t="n">
        <f aca="false">B37/C37</f>
        <v>86.8</v>
      </c>
    </row>
    <row r="38" customFormat="false" ht="13.8" hidden="false" customHeight="false" outlineLevel="0" collapsed="false">
      <c r="A38" s="10" t="s">
        <v>59</v>
      </c>
      <c r="B38" s="0" t="n">
        <f aca="false">HEX2DEC(A38)</f>
        <v>2613</v>
      </c>
      <c r="C38" s="0" t="n">
        <v>30</v>
      </c>
      <c r="D38" s="0" t="n">
        <f aca="false">B38/C38</f>
        <v>87.1</v>
      </c>
    </row>
    <row r="39" customFormat="false" ht="13.8" hidden="false" customHeight="false" outlineLevel="0" collapsed="false">
      <c r="A39" s="10" t="s">
        <v>60</v>
      </c>
      <c r="B39" s="0" t="n">
        <f aca="false">HEX2DEC(A39)</f>
        <v>2622</v>
      </c>
      <c r="C39" s="0" t="n">
        <v>30</v>
      </c>
      <c r="D39" s="0" t="n">
        <f aca="false">B39/C39</f>
        <v>87.4</v>
      </c>
    </row>
    <row r="40" customFormat="false" ht="13.8" hidden="false" customHeight="false" outlineLevel="0" collapsed="false">
      <c r="A40" s="10" t="s">
        <v>61</v>
      </c>
      <c r="B40" s="0" t="n">
        <f aca="false">HEX2DEC(A40)</f>
        <v>2676</v>
      </c>
      <c r="C40" s="0" t="n">
        <v>30</v>
      </c>
      <c r="D40" s="0" t="n">
        <f aca="false">B40/C40</f>
        <v>89.2</v>
      </c>
    </row>
    <row r="41" customFormat="false" ht="13.8" hidden="false" customHeight="false" outlineLevel="0" collapsed="false">
      <c r="A41" s="11" t="s">
        <v>62</v>
      </c>
      <c r="B41" s="0" t="n">
        <f aca="false">HEX2DEC(A41)</f>
        <v>3672</v>
      </c>
      <c r="C41" s="0" t="n">
        <v>42</v>
      </c>
      <c r="D41" s="0" t="n">
        <f aca="false">B41/C41</f>
        <v>87.4285714285714</v>
      </c>
    </row>
    <row r="42" customFormat="false" ht="13.8" hidden="false" customHeight="false" outlineLevel="0" collapsed="false">
      <c r="A42" s="10" t="s">
        <v>63</v>
      </c>
      <c r="B42" s="0" t="n">
        <f aca="false">HEX2DEC(A42)</f>
        <v>3678</v>
      </c>
      <c r="C42" s="0" t="n">
        <v>42</v>
      </c>
      <c r="D42" s="0" t="n">
        <f aca="false">B42/C42</f>
        <v>87.5714285714286</v>
      </c>
    </row>
    <row r="43" customFormat="false" ht="13.8" hidden="false" customHeight="false" outlineLevel="0" collapsed="false">
      <c r="A43" s="11" t="s">
        <v>64</v>
      </c>
      <c r="B43" s="0" t="n">
        <f aca="false">HEX2DEC(A43)</f>
        <v>3684</v>
      </c>
      <c r="C43" s="0" t="n">
        <v>42</v>
      </c>
      <c r="D43" s="0" t="n">
        <f aca="false">B43/C43</f>
        <v>87.7142857142857</v>
      </c>
    </row>
    <row r="44" customFormat="false" ht="13.8" hidden="false" customHeight="false" outlineLevel="0" collapsed="false">
      <c r="A44" s="11" t="s">
        <v>65</v>
      </c>
      <c r="B44" s="0" t="n">
        <f aca="false">HEX2DEC(A44)</f>
        <v>3687</v>
      </c>
      <c r="C44" s="0" t="n">
        <v>42</v>
      </c>
      <c r="D44" s="0" t="n">
        <f aca="false">B44/C44</f>
        <v>87.7857142857143</v>
      </c>
    </row>
    <row r="45" customFormat="false" ht="13.8" hidden="false" customHeight="false" outlineLevel="0" collapsed="false">
      <c r="A45" s="11" t="s">
        <v>66</v>
      </c>
      <c r="B45" s="0" t="n">
        <f aca="false">HEX2DEC(A45)</f>
        <v>3699</v>
      </c>
      <c r="C45" s="0" t="n">
        <v>43</v>
      </c>
      <c r="D45" s="0" t="n">
        <f aca="false">B45/C45</f>
        <v>86.0232558139535</v>
      </c>
    </row>
    <row r="46" customFormat="false" ht="13.8" hidden="false" customHeight="false" outlineLevel="0" collapsed="false">
      <c r="A46" s="10" t="s">
        <v>67</v>
      </c>
      <c r="B46" s="0" t="n">
        <f aca="false">HEX2DEC(A46)</f>
        <v>3807</v>
      </c>
      <c r="C46" s="0" t="n">
        <v>44</v>
      </c>
      <c r="D46" s="0" t="n">
        <f aca="false">B46/C46</f>
        <v>86.5227272727273</v>
      </c>
    </row>
    <row r="47" customFormat="false" ht="13.8" hidden="false" customHeight="false" outlineLevel="0" collapsed="false">
      <c r="A47" s="11" t="s">
        <v>68</v>
      </c>
      <c r="B47" s="0" t="n">
        <f aca="false">HEX2DEC(A47)</f>
        <v>3810</v>
      </c>
      <c r="C47" s="0" t="n">
        <v>44</v>
      </c>
      <c r="D47" s="0" t="n">
        <f aca="false">B47/C47</f>
        <v>86.5909090909091</v>
      </c>
    </row>
    <row r="48" customFormat="false" ht="13.8" hidden="false" customHeight="false" outlineLevel="0" collapsed="false">
      <c r="A48" s="10" t="s">
        <v>69</v>
      </c>
      <c r="B48" s="0" t="n">
        <f aca="false">HEX2DEC(A48)</f>
        <v>4221</v>
      </c>
      <c r="C48" s="0" t="n">
        <v>48</v>
      </c>
      <c r="D48" s="0" t="n">
        <f aca="false">B48/C48</f>
        <v>87.9375</v>
      </c>
    </row>
    <row r="49" customFormat="false" ht="13.8" hidden="false" customHeight="false" outlineLevel="0" collapsed="false">
      <c r="A49" s="10" t="n">
        <v>1080</v>
      </c>
      <c r="B49" s="0" t="n">
        <f aca="false">HEX2DEC(A49)</f>
        <v>4224</v>
      </c>
      <c r="C49" s="0" t="n">
        <v>48</v>
      </c>
      <c r="D49" s="0" t="n">
        <f aca="false">B49/C49</f>
        <v>88</v>
      </c>
    </row>
    <row r="50" customFormat="false" ht="13.8" hidden="false" customHeight="false" outlineLevel="0" collapsed="false">
      <c r="A50" s="10" t="n">
        <v>1083</v>
      </c>
      <c r="B50" s="0" t="n">
        <f aca="false">HEX2DEC(A50)</f>
        <v>4227</v>
      </c>
      <c r="C50" s="0" t="n">
        <v>49</v>
      </c>
      <c r="D50" s="0" t="n">
        <f aca="false">B50/C50</f>
        <v>86.265306122449</v>
      </c>
    </row>
    <row r="51" customFormat="false" ht="13.8" hidden="false" customHeight="false" outlineLevel="0" collapsed="false">
      <c r="A51" s="10" t="n">
        <v>1089</v>
      </c>
      <c r="B51" s="0" t="n">
        <f aca="false">HEX2DEC(A51)</f>
        <v>4233</v>
      </c>
      <c r="C51" s="0" t="n">
        <v>49</v>
      </c>
      <c r="D51" s="0" t="n">
        <f aca="false">B51/C51</f>
        <v>86.3877551020408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2017-06-29T11:55:45Z</dcterms:created>
  <dc:creator>Evandro Luis Copercini</dc:creator>
  <dc:description/>
  <dc:language>en-US</dc:language>
  <cp:lastModifiedBy/>
  <dcterms:modified xsi:type="dcterms:W3CDTF">2019-10-23T20:59:28Z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